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<sst xmlns="http://schemas.openxmlformats.org/spreadsheetml/2006/main" count="81" uniqueCount="44">
  <si>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States (2022-23)</t>
  </si>
  <si>
    <t>Per Capita Net State Domestic Product (NSDP) (crore)( const.prices)</t>
  </si>
  <si>
    <t>Gross state value added by industry (crore)</t>
  </si>
  <si>
    <t>State-Wise Social Sector Expenditure (crore)</t>
  </si>
  <si>
    <t>State-Wise Per Capita Availability Of Power (Kilowatt-Hour)</t>
  </si>
  <si>
    <t>Credit to Agriculture by Scheduled Commercial Banks (crore)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</si>
  <si>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</si>
  <si>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</si>
  <si>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</si>
  <si>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</si>
  <si>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</si>
  <si>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</si>
  <si>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</si>
  <si>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</si>
  <si>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</si>
  <si>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</si>
  <si>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</si>
  <si>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</si>
  <si>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</si>
  <si>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</si>
  <si>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</si>
  <si>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</si>
  <si>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</si>
  <si>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</si>
  <si>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</si>
  <si>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</si>
  <si>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</si>
  <si>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</si>
  <si>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</si>
  <si>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</si>
  <si>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</si>
  <si>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</si>
  <si>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</si>
  <si>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</si>
  <si>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</si>
  <si>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</si>
  <si>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Puducherry</t>
  </si>
  <si>
    <t>State-Wise Distribution Of Offices Of Scheduled Commercial Banks</t>
  </si>
  <si>
    <t>Total Population</t>
  </si>
  <si>
    <t>Bank density per lakh</t>
  </si>
  <si>
    <t>per capita social expenditure( crore)</t>
  </si>
  <si>
    <t>per capita gva_industry(crore)</t>
  </si>
  <si>
    <t>Credit by Scheduled commercials banks</t>
  </si>
  <si>
    <t>Gross state value added by agriculture (crore)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</si>
</sst>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"/>
    <numFmt numFmtId="181" formatCode="#,##0.0000"/>
    <numFmt numFmtId="182" formatCode="#,##0.0000000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right" vertical="center"/>
    </xf>
    <xf numFmtId="0" fontId="3" fillId="0" borderId="0" xfId="0" applyFont="1" applyAlignment="1">
      <alignment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180" fontId="4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right" vertical="center"/>
    </xf>
    <xf numFmtId="0" fontId="0" fillId="0" borderId="2" xfId="0" applyFont="1" applyBorder="1" applyAlignment="1">
      <alignment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180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J10" sqref="J10"/>
    </sheetView>
  </sheetViews>
  <sheetFormatPr defaultColWidth="8.72727272727273" defaultRowHeight="14.5"/>
  <cols>
    <col min="1" max="1" width="23.8181818181818" customWidth="1"/>
    <col min="2" max="2" width="15.5454545454545" customWidth="1"/>
    <col min="3" max="3" width="19.1818181818182" customWidth="1"/>
    <col min="4" max="4" width="18.1818181818182" customWidth="1"/>
    <col min="5" max="5" width="14.0909090909091" customWidth="1"/>
    <col min="6" max="6" width="13.4545454545455" customWidth="1"/>
  </cols>
  <sheetData>
    <row r="1" spans="1:12">
      <c r="A1" s="13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/>
      <c r="H1"/>
      <c r="I1"/>
      <c r="J1"/>
      <c r="K1"/>
      <c r="L1" s="9"/>
    </row>
    <row r="2" spans="1:12">
      <c r="A2" s="15" t="s">
        <v>6</v>
      </c>
      <c r="B2" s="16">
        <v>126690</v>
      </c>
      <c r="C2" s="17">
        <v>206.325</v>
      </c>
      <c r="D2" s="18">
        <v>123279</v>
      </c>
      <c r="E2" s="19">
        <v>1452.8</v>
      </c>
      <c r="F2" s="18">
        <v>208418</v>
      </c>
      <c r="G2" s="7"/>
      <c r="H2" s="10"/>
      <c r="I2" s="11"/>
      <c r="J2" s="12"/>
      <c r="K2"/>
      <c r="L2" s="4"/>
    </row>
    <row r="3" spans="1:12">
      <c r="A3" s="15" t="s">
        <v>7</v>
      </c>
      <c r="B3" s="16">
        <v>102870</v>
      </c>
      <c r="C3" s="17">
        <v>4.74779</v>
      </c>
      <c r="D3" s="18">
        <v>9977</v>
      </c>
      <c r="E3" s="19">
        <v>644.3</v>
      </c>
      <c r="F3" s="20">
        <v>379</v>
      </c>
      <c r="G3" s="7"/>
      <c r="H3" s="10"/>
      <c r="I3" s="11"/>
      <c r="J3" s="11"/>
      <c r="K3"/>
      <c r="L3" s="4"/>
    </row>
    <row r="4" spans="1:12">
      <c r="A4" s="15" t="s">
        <v>8</v>
      </c>
      <c r="B4" s="16">
        <v>68813</v>
      </c>
      <c r="C4" s="17">
        <v>122.14401</v>
      </c>
      <c r="D4" s="18">
        <v>73683</v>
      </c>
      <c r="E4" s="19">
        <v>366.4</v>
      </c>
      <c r="F4" s="18">
        <v>14635</v>
      </c>
      <c r="G4" s="7"/>
      <c r="H4" s="10"/>
      <c r="I4" s="11"/>
      <c r="J4" s="11"/>
      <c r="K4"/>
      <c r="L4" s="4"/>
    </row>
    <row r="5" spans="1:12">
      <c r="A5" s="15" t="s">
        <v>9</v>
      </c>
      <c r="B5" s="16">
        <v>29909</v>
      </c>
      <c r="C5" s="17">
        <v>93.31497</v>
      </c>
      <c r="D5" s="18">
        <v>152583</v>
      </c>
      <c r="E5" s="19">
        <v>373.4</v>
      </c>
      <c r="F5" s="18">
        <v>59792</v>
      </c>
      <c r="G5" s="7"/>
      <c r="H5" s="10"/>
      <c r="I5" s="11"/>
      <c r="J5" s="11"/>
      <c r="K5"/>
      <c r="L5" s="4"/>
    </row>
    <row r="6" spans="1:12">
      <c r="A6" s="15" t="s">
        <v>10</v>
      </c>
      <c r="B6" s="16">
        <v>87838</v>
      </c>
      <c r="C6" s="17">
        <v>151.0442</v>
      </c>
      <c r="D6" s="18">
        <v>54988</v>
      </c>
      <c r="E6" s="19">
        <v>1506.5</v>
      </c>
      <c r="F6" s="18">
        <v>18343</v>
      </c>
      <c r="G6" s="7"/>
      <c r="H6" s="10"/>
      <c r="I6" s="11"/>
      <c r="J6" s="11"/>
      <c r="K6"/>
      <c r="L6" s="4"/>
    </row>
    <row r="7" spans="1:12">
      <c r="A7" s="15" t="s">
        <v>11</v>
      </c>
      <c r="B7" s="16">
        <v>295114</v>
      </c>
      <c r="C7" s="17">
        <v>26.57654</v>
      </c>
      <c r="D7" s="18">
        <v>8743</v>
      </c>
      <c r="E7" s="19">
        <v>3197</v>
      </c>
      <c r="F7" s="18">
        <v>1431</v>
      </c>
      <c r="G7" s="7"/>
      <c r="H7" s="10"/>
      <c r="I7" s="11"/>
      <c r="J7" s="11"/>
      <c r="K7"/>
      <c r="L7" s="4"/>
    </row>
    <row r="8" spans="1:12">
      <c r="A8" s="15" t="s">
        <v>12</v>
      </c>
      <c r="B8" s="16">
        <v>181963</v>
      </c>
      <c r="C8" s="17">
        <v>611.8304</v>
      </c>
      <c r="D8" s="18">
        <v>103877</v>
      </c>
      <c r="E8" s="19">
        <v>2288.3</v>
      </c>
      <c r="F8" s="18">
        <v>82753</v>
      </c>
      <c r="G8" s="7"/>
      <c r="H8" s="10"/>
      <c r="I8" s="11"/>
      <c r="J8" s="11"/>
      <c r="K8"/>
      <c r="L8" s="4"/>
    </row>
    <row r="9" spans="1:12">
      <c r="A9" s="15" t="s">
        <v>13</v>
      </c>
      <c r="B9" s="16">
        <v>173973</v>
      </c>
      <c r="C9" s="17">
        <v>172.97856</v>
      </c>
      <c r="D9" s="18">
        <v>57503</v>
      </c>
      <c r="E9" s="19">
        <v>2403.9</v>
      </c>
      <c r="F9" s="18">
        <v>62968</v>
      </c>
      <c r="G9" s="7"/>
      <c r="H9" s="10"/>
      <c r="I9" s="11"/>
      <c r="J9" s="11"/>
      <c r="K9"/>
      <c r="L9" s="4"/>
    </row>
    <row r="10" spans="1:12">
      <c r="A10" s="15" t="s">
        <v>14</v>
      </c>
      <c r="B10" s="16">
        <v>151124</v>
      </c>
      <c r="C10" s="17">
        <v>58.41858</v>
      </c>
      <c r="D10" s="18">
        <v>22378</v>
      </c>
      <c r="E10" s="19">
        <v>1828.9</v>
      </c>
      <c r="F10" s="18">
        <v>8022</v>
      </c>
      <c r="G10" s="7"/>
      <c r="H10" s="10"/>
      <c r="I10" s="11"/>
      <c r="J10" s="11"/>
      <c r="K10"/>
      <c r="L10" s="4"/>
    </row>
    <row r="11" spans="1:12">
      <c r="A11" s="15" t="s">
        <v>15</v>
      </c>
      <c r="B11" s="16">
        <v>73947</v>
      </c>
      <c r="C11" s="17">
        <v>31.1211</v>
      </c>
      <c r="D11" s="18">
        <v>42210</v>
      </c>
      <c r="E11" s="19">
        <v>1564.6</v>
      </c>
      <c r="F11" s="18">
        <v>10465</v>
      </c>
      <c r="G11" s="7"/>
      <c r="H11" s="10"/>
      <c r="I11" s="11"/>
      <c r="J11" s="11"/>
      <c r="K11"/>
      <c r="L11" s="4"/>
    </row>
    <row r="12" spans="1:12">
      <c r="A12" s="15" t="s">
        <v>16</v>
      </c>
      <c r="B12" s="16">
        <v>60938</v>
      </c>
      <c r="C12" s="17">
        <v>107.92875</v>
      </c>
      <c r="D12" s="18">
        <v>47521</v>
      </c>
      <c r="E12" s="19">
        <v>371.4</v>
      </c>
      <c r="F12" s="18">
        <v>13960</v>
      </c>
      <c r="G12" s="7"/>
      <c r="H12" s="10"/>
      <c r="I12" s="11"/>
      <c r="J12" s="11"/>
      <c r="K12"/>
      <c r="L12" s="4"/>
    </row>
    <row r="13" spans="1:12">
      <c r="A13" s="15" t="s">
        <v>17</v>
      </c>
      <c r="B13" s="16">
        <v>175895</v>
      </c>
      <c r="C13" s="17">
        <v>294.98294</v>
      </c>
      <c r="D13" s="18">
        <v>109301</v>
      </c>
      <c r="E13" s="19">
        <v>1237.6</v>
      </c>
      <c r="F13" s="18">
        <v>153440</v>
      </c>
      <c r="G13" s="7"/>
      <c r="H13" s="10"/>
      <c r="I13" s="11"/>
      <c r="J13" s="11"/>
      <c r="K13"/>
      <c r="L13" s="4"/>
    </row>
    <row r="14" spans="1:12">
      <c r="A14" s="15" t="s">
        <v>18</v>
      </c>
      <c r="B14" s="16">
        <v>152870</v>
      </c>
      <c r="C14" s="17">
        <v>149.17705</v>
      </c>
      <c r="D14" s="18">
        <v>57002</v>
      </c>
      <c r="E14" s="19">
        <v>831.2</v>
      </c>
      <c r="F14" s="18">
        <v>105186</v>
      </c>
      <c r="G14" s="7"/>
      <c r="H14" s="10"/>
      <c r="I14" s="11"/>
      <c r="J14" s="11"/>
      <c r="K14"/>
      <c r="L14" s="4"/>
    </row>
    <row r="15" spans="1:12">
      <c r="A15" s="15" t="s">
        <v>19</v>
      </c>
      <c r="B15" s="16">
        <v>63379</v>
      </c>
      <c r="C15" s="17">
        <v>154.44273</v>
      </c>
      <c r="D15" s="18">
        <v>115915</v>
      </c>
      <c r="E15" s="19">
        <v>1260.4</v>
      </c>
      <c r="F15" s="18">
        <v>103609</v>
      </c>
      <c r="G15" s="7"/>
      <c r="H15" s="10"/>
      <c r="I15" s="11"/>
      <c r="J15" s="11"/>
      <c r="K15"/>
      <c r="L15" s="4"/>
    </row>
    <row r="16" spans="1:12">
      <c r="A16" s="15" t="s">
        <v>20</v>
      </c>
      <c r="B16" s="16">
        <v>153664</v>
      </c>
      <c r="C16" s="17">
        <v>607.65211</v>
      </c>
      <c r="D16" s="18">
        <v>228866</v>
      </c>
      <c r="E16" s="19">
        <v>1659.3</v>
      </c>
      <c r="F16" s="18">
        <v>121765</v>
      </c>
      <c r="G16" s="7"/>
      <c r="H16" s="10"/>
      <c r="I16" s="11"/>
      <c r="J16" s="11"/>
      <c r="K16"/>
      <c r="L16" s="4"/>
    </row>
    <row r="17" spans="1:12">
      <c r="A17" s="15" t="s">
        <v>21</v>
      </c>
      <c r="B17" s="16">
        <v>60204</v>
      </c>
      <c r="C17" s="17">
        <v>2.3374</v>
      </c>
      <c r="D17" s="18">
        <v>14679</v>
      </c>
      <c r="E17" s="19">
        <v>375.2</v>
      </c>
      <c r="F17" s="20">
        <v>769</v>
      </c>
      <c r="G17" s="7"/>
      <c r="H17" s="10"/>
      <c r="I17" s="11"/>
      <c r="J17" s="11"/>
      <c r="K17"/>
      <c r="L17" s="4"/>
    </row>
    <row r="18" spans="1:12">
      <c r="A18" s="15" t="s">
        <v>22</v>
      </c>
      <c r="B18" s="16">
        <v>69997</v>
      </c>
      <c r="C18" s="17">
        <v>5.03197</v>
      </c>
      <c r="D18" s="18">
        <v>8574</v>
      </c>
      <c r="E18" s="19">
        <v>752.7</v>
      </c>
      <c r="F18" s="20">
        <v>668</v>
      </c>
      <c r="G18" s="7"/>
      <c r="H18" s="10"/>
      <c r="I18" s="11"/>
      <c r="J18" s="11"/>
      <c r="K18"/>
      <c r="L18" s="4"/>
    </row>
    <row r="19" spans="1:12">
      <c r="A19" s="15" t="s">
        <v>23</v>
      </c>
      <c r="B19" s="16">
        <v>140016</v>
      </c>
      <c r="C19" s="17">
        <v>5.7435</v>
      </c>
      <c r="D19" s="18">
        <v>6128</v>
      </c>
      <c r="E19" s="19">
        <v>622.8</v>
      </c>
      <c r="F19" s="20">
        <v>610</v>
      </c>
      <c r="G19" s="7"/>
      <c r="H19" s="10"/>
      <c r="I19" s="11"/>
      <c r="J19" s="11"/>
      <c r="K19"/>
      <c r="L19" s="4"/>
    </row>
    <row r="20" spans="1:12">
      <c r="A20" s="15" t="s">
        <v>24</v>
      </c>
      <c r="B20" s="16">
        <v>76462</v>
      </c>
      <c r="C20" s="17">
        <v>2.305</v>
      </c>
      <c r="D20" s="18">
        <v>6447</v>
      </c>
      <c r="E20" s="19">
        <v>448.2</v>
      </c>
      <c r="F20" s="20">
        <v>341</v>
      </c>
      <c r="G20" s="7"/>
      <c r="H20" s="10"/>
      <c r="I20" s="11"/>
      <c r="J20" s="11"/>
      <c r="K20"/>
      <c r="L20" s="4"/>
    </row>
    <row r="21" spans="1:12">
      <c r="A21" s="15" t="s">
        <v>25</v>
      </c>
      <c r="B21" s="16">
        <v>90172</v>
      </c>
      <c r="C21" s="17">
        <v>221.4779</v>
      </c>
      <c r="D21" s="18">
        <v>85974</v>
      </c>
      <c r="E21" s="19">
        <v>1004.3</v>
      </c>
      <c r="F21" s="18">
        <v>32894</v>
      </c>
      <c r="G21" s="7"/>
      <c r="H21" s="10"/>
      <c r="I21" s="11"/>
      <c r="J21" s="11"/>
      <c r="K21"/>
      <c r="L21" s="4"/>
    </row>
    <row r="22" spans="1:12">
      <c r="A22" s="15" t="s">
        <v>26</v>
      </c>
      <c r="B22" s="16">
        <v>123874</v>
      </c>
      <c r="C22" s="17">
        <v>11.43736</v>
      </c>
      <c r="D22" s="18">
        <v>38628</v>
      </c>
      <c r="E22" s="19">
        <v>2496.6</v>
      </c>
      <c r="F22" s="18">
        <v>74166</v>
      </c>
      <c r="G22" s="7"/>
      <c r="H22" s="10"/>
      <c r="I22" s="11"/>
      <c r="J22" s="11"/>
      <c r="K22"/>
      <c r="L22" s="4"/>
    </row>
    <row r="23" spans="1:12">
      <c r="A23" s="15" t="s">
        <v>27</v>
      </c>
      <c r="B23" s="16">
        <v>84935</v>
      </c>
      <c r="C23" s="17">
        <v>114.74158</v>
      </c>
      <c r="D23" s="18">
        <v>140231</v>
      </c>
      <c r="E23" s="19">
        <v>1458.4</v>
      </c>
      <c r="F23" s="18">
        <v>126980</v>
      </c>
      <c r="G23" s="7"/>
      <c r="H23" s="10"/>
      <c r="I23" s="11"/>
      <c r="J23" s="11"/>
      <c r="K23"/>
      <c r="L23" s="4"/>
    </row>
    <row r="24" spans="1:12">
      <c r="A24" s="15" t="s">
        <v>28</v>
      </c>
      <c r="B24" s="16">
        <v>273145</v>
      </c>
      <c r="C24" s="17">
        <v>207.15584</v>
      </c>
      <c r="D24" s="18">
        <v>4720</v>
      </c>
      <c r="E24" s="19">
        <v>936.4</v>
      </c>
      <c r="F24" s="20">
        <v>303</v>
      </c>
      <c r="G24" s="7"/>
      <c r="H24" s="10"/>
      <c r="I24" s="11"/>
      <c r="J24" s="11"/>
      <c r="K24"/>
      <c r="L24" s="4"/>
    </row>
    <row r="25" spans="1:12">
      <c r="A25" s="15" t="s">
        <v>29</v>
      </c>
      <c r="B25" s="16">
        <v>166590</v>
      </c>
      <c r="C25" s="17">
        <v>14.00353</v>
      </c>
      <c r="D25" s="18">
        <v>116499</v>
      </c>
      <c r="E25" s="19">
        <v>1588.7</v>
      </c>
      <c r="F25" s="18">
        <v>288990</v>
      </c>
      <c r="G25" s="7"/>
      <c r="H25" s="10"/>
      <c r="I25" s="11"/>
      <c r="J25" s="11"/>
      <c r="K25"/>
      <c r="L25" s="4"/>
    </row>
    <row r="26" spans="1:12">
      <c r="A26" s="15" t="s">
        <v>30</v>
      </c>
      <c r="B26" s="16">
        <v>169354</v>
      </c>
      <c r="C26" s="17">
        <v>489.32332</v>
      </c>
      <c r="D26" s="18">
        <v>106855</v>
      </c>
      <c r="E26" s="19">
        <v>2211.9</v>
      </c>
      <c r="F26" s="18">
        <v>113529</v>
      </c>
      <c r="G26" s="7"/>
      <c r="H26" s="10"/>
      <c r="I26" s="11"/>
      <c r="J26" s="11"/>
      <c r="K26"/>
      <c r="L26" s="4"/>
    </row>
    <row r="27" spans="1:12">
      <c r="A27" s="15" t="s">
        <v>31</v>
      </c>
      <c r="B27" s="16">
        <v>91455</v>
      </c>
      <c r="C27" s="17">
        <v>147.79662</v>
      </c>
      <c r="D27" s="18">
        <v>11855</v>
      </c>
      <c r="E27" s="19">
        <v>421.5</v>
      </c>
      <c r="F27" s="18">
        <v>2144</v>
      </c>
      <c r="G27" s="7"/>
      <c r="H27" s="10"/>
      <c r="I27" s="11"/>
      <c r="J27" s="11"/>
      <c r="K27"/>
      <c r="L27" s="4"/>
    </row>
    <row r="28" spans="1:12">
      <c r="A28" s="15" t="s">
        <v>32</v>
      </c>
      <c r="B28" s="16">
        <v>47808</v>
      </c>
      <c r="C28" s="17">
        <v>11.20818</v>
      </c>
      <c r="D28" s="18">
        <v>235607</v>
      </c>
      <c r="E28" s="19">
        <v>716.6</v>
      </c>
      <c r="F28" s="18">
        <v>191365</v>
      </c>
      <c r="G28" s="7"/>
      <c r="H28" s="10"/>
      <c r="I28" s="11"/>
      <c r="J28" s="11"/>
      <c r="K28"/>
      <c r="L28" s="4"/>
    </row>
    <row r="29" spans="1:12">
      <c r="A29" s="15" t="s">
        <v>33</v>
      </c>
      <c r="B29" s="16">
        <v>149547</v>
      </c>
      <c r="C29" s="17">
        <v>363.68837</v>
      </c>
      <c r="D29" s="18">
        <v>28488</v>
      </c>
      <c r="E29" s="19">
        <v>1520.9</v>
      </c>
      <c r="F29" s="18">
        <v>9281</v>
      </c>
      <c r="G29" s="7"/>
      <c r="H29" s="10"/>
      <c r="I29" s="11"/>
      <c r="J29" s="11"/>
      <c r="K29"/>
      <c r="L29" s="4"/>
    </row>
    <row r="30" spans="1:12">
      <c r="A30" s="15" t="s">
        <v>34</v>
      </c>
      <c r="B30" s="16">
        <v>74334</v>
      </c>
      <c r="C30" s="17">
        <v>93.4525</v>
      </c>
      <c r="D30" s="18">
        <v>143710</v>
      </c>
      <c r="E30" s="19">
        <v>670</v>
      </c>
      <c r="F30" s="18">
        <v>47472</v>
      </c>
      <c r="G30" s="7"/>
      <c r="H30" s="10"/>
      <c r="I30" s="11"/>
      <c r="J30" s="11"/>
      <c r="K30"/>
      <c r="L30" s="4"/>
    </row>
    <row r="31" spans="1:12">
      <c r="A31" s="15" t="s">
        <v>35</v>
      </c>
      <c r="B31" s="16">
        <v>258941</v>
      </c>
      <c r="C31" s="17">
        <v>8.366345</v>
      </c>
      <c r="D31" s="18">
        <v>38248</v>
      </c>
      <c r="E31" s="19">
        <v>2097.2</v>
      </c>
      <c r="F31" s="18">
        <v>45787</v>
      </c>
      <c r="G31" s="7"/>
      <c r="H31" s="10"/>
      <c r="I31" s="11"/>
      <c r="J31" s="11"/>
      <c r="K31"/>
      <c r="L31" s="4"/>
    </row>
    <row r="32" spans="1:12">
      <c r="A32" s="15" t="s">
        <v>36</v>
      </c>
      <c r="B32" s="16">
        <v>138988</v>
      </c>
      <c r="C32" s="17">
        <v>11.43736</v>
      </c>
      <c r="D32" s="18">
        <v>4246</v>
      </c>
      <c r="E32" s="19">
        <v>2450.1</v>
      </c>
      <c r="F32" s="18">
        <v>4652</v>
      </c>
      <c r="G32" s="7"/>
      <c r="H32" s="10"/>
      <c r="I32" s="11"/>
      <c r="J32" s="11"/>
      <c r="K32"/>
      <c r="L32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zoomScale="85" zoomScaleNormal="85" workbookViewId="0">
      <selection activeCell="D1" sqref="A1:M32"/>
    </sheetView>
  </sheetViews>
  <sheetFormatPr defaultColWidth="8.72727272727273" defaultRowHeight="14.5"/>
  <cols>
    <col min="1" max="1" width="17.3636363636364" customWidth="1"/>
    <col min="2" max="2" width="19.0363636363636" customWidth="1"/>
    <col min="3" max="3" width="19.7818181818182" customWidth="1"/>
    <col min="4" max="4" width="20.7454545454545" customWidth="1"/>
    <col min="5" max="5" width="20.8454545454545" customWidth="1"/>
    <col min="6" max="6" width="20.5272727272727" customWidth="1"/>
    <col min="7" max="7" width="20.1" customWidth="1"/>
    <col min="8" max="8" width="16.4636363636364" customWidth="1"/>
    <col min="10" max="10" width="15.9272727272727" customWidth="1"/>
    <col min="11" max="11" width="16.2545454545455" customWidth="1"/>
    <col min="12" max="12" width="14.2181818181818" customWidth="1"/>
    <col min="13" max="13" width="10.5454545454545"/>
  </cols>
  <sheetData>
    <row r="1" ht="72.5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37</v>
      </c>
      <c r="G1" t="s">
        <v>5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s="9" t="s">
        <v>43</v>
      </c>
      <c r="N1" s="9"/>
    </row>
    <row r="2" spans="1:17">
      <c r="A2" s="2" t="s">
        <v>6</v>
      </c>
      <c r="B2" s="3">
        <v>126690</v>
      </c>
      <c r="C2" s="4">
        <v>206.325</v>
      </c>
      <c r="D2" s="5">
        <v>123279</v>
      </c>
      <c r="E2" s="6">
        <v>1452.8</v>
      </c>
      <c r="F2" s="5">
        <v>7663</v>
      </c>
      <c r="G2" s="5">
        <v>208418</v>
      </c>
      <c r="H2" s="7">
        <v>53156000</v>
      </c>
      <c r="I2" s="10">
        <f>F2/(H2/100000)</f>
        <v>14.4160583941606</v>
      </c>
      <c r="J2" s="11">
        <f>D2/H2</f>
        <v>0.00231919256527955</v>
      </c>
      <c r="K2" s="12">
        <f>C2/H2</f>
        <v>3.88149973662428e-6</v>
      </c>
      <c r="L2">
        <v>4278261</v>
      </c>
      <c r="M2" s="4">
        <v>818.2165</v>
      </c>
      <c r="Q2" s="4"/>
    </row>
    <row r="3" spans="1:17">
      <c r="A3" s="2" t="s">
        <v>7</v>
      </c>
      <c r="B3" s="3">
        <v>102870</v>
      </c>
      <c r="C3" s="4">
        <v>4.74779</v>
      </c>
      <c r="D3" s="5">
        <v>9977</v>
      </c>
      <c r="E3" s="6">
        <v>644.3</v>
      </c>
      <c r="F3" s="8">
        <v>187</v>
      </c>
      <c r="G3" s="8">
        <v>379</v>
      </c>
      <c r="H3" s="7">
        <v>1562000</v>
      </c>
      <c r="I3" s="10">
        <f t="shared" ref="I3:I32" si="0">F3/(H3/100000)</f>
        <v>11.9718309859155</v>
      </c>
      <c r="J3" s="11">
        <f t="shared" ref="J3:J32" si="1">D3/H3</f>
        <v>0.00638732394366197</v>
      </c>
      <c r="K3" s="11">
        <f t="shared" ref="K3:K32" si="2">C3/H3</f>
        <v>3.03955825864277e-6</v>
      </c>
      <c r="L3">
        <v>7510</v>
      </c>
      <c r="M3" s="4">
        <v>19.1307</v>
      </c>
      <c r="Q3" s="4"/>
    </row>
    <row r="4" spans="1:17">
      <c r="A4" s="2" t="s">
        <v>8</v>
      </c>
      <c r="B4" s="3">
        <v>68813</v>
      </c>
      <c r="C4" s="4">
        <v>122.14401</v>
      </c>
      <c r="D4" s="5">
        <v>73683</v>
      </c>
      <c r="E4" s="6">
        <v>366.4</v>
      </c>
      <c r="F4" s="5">
        <v>3085</v>
      </c>
      <c r="G4" s="5">
        <v>14635</v>
      </c>
      <c r="H4" s="7">
        <v>35713000</v>
      </c>
      <c r="I4" s="10">
        <f t="shared" si="0"/>
        <v>8.63831097919525</v>
      </c>
      <c r="J4" s="11">
        <f t="shared" si="1"/>
        <v>0.00206319827513791</v>
      </c>
      <c r="K4" s="11">
        <f t="shared" si="2"/>
        <v>3.4201554055946e-6</v>
      </c>
      <c r="L4">
        <v>112374</v>
      </c>
      <c r="M4" s="4">
        <v>225.6362</v>
      </c>
      <c r="Q4" s="4"/>
    </row>
    <row r="5" spans="1:17">
      <c r="A5" s="2" t="s">
        <v>9</v>
      </c>
      <c r="B5" s="3">
        <v>29909</v>
      </c>
      <c r="C5" s="4">
        <v>93.31497</v>
      </c>
      <c r="D5" s="5">
        <v>152583</v>
      </c>
      <c r="E5" s="6">
        <v>373.4</v>
      </c>
      <c r="F5" s="5">
        <v>7832</v>
      </c>
      <c r="G5" s="5">
        <v>59792</v>
      </c>
      <c r="H5" s="7">
        <v>126756000</v>
      </c>
      <c r="I5" s="10">
        <f t="shared" si="0"/>
        <v>6.1788002145855</v>
      </c>
      <c r="J5" s="11">
        <f t="shared" si="1"/>
        <v>0.0012037536684654</v>
      </c>
      <c r="K5" s="11">
        <f t="shared" si="2"/>
        <v>7.36177932405567e-7</v>
      </c>
      <c r="L5">
        <v>1103017</v>
      </c>
      <c r="M5" s="4">
        <v>438.108</v>
      </c>
      <c r="Q5" s="4"/>
    </row>
    <row r="6" spans="1:17">
      <c r="A6" s="2" t="s">
        <v>10</v>
      </c>
      <c r="B6" s="3">
        <v>87838</v>
      </c>
      <c r="C6" s="4">
        <v>151.0442</v>
      </c>
      <c r="D6" s="5">
        <v>54988</v>
      </c>
      <c r="E6" s="6">
        <v>1506.5</v>
      </c>
      <c r="F6" s="5">
        <v>2979</v>
      </c>
      <c r="G6" s="5">
        <v>18343</v>
      </c>
      <c r="H6" s="7">
        <v>30180000</v>
      </c>
      <c r="I6" s="10">
        <f t="shared" si="0"/>
        <v>9.87077534791252</v>
      </c>
      <c r="J6" s="11">
        <f t="shared" si="1"/>
        <v>0.00182200132538105</v>
      </c>
      <c r="K6" s="11">
        <f t="shared" si="2"/>
        <v>5.00477799867462e-6</v>
      </c>
      <c r="L6">
        <v>1409329</v>
      </c>
      <c r="M6" s="4">
        <v>255.7944</v>
      </c>
      <c r="Q6" s="4"/>
    </row>
    <row r="7" spans="1:17">
      <c r="A7" s="2" t="s">
        <v>11</v>
      </c>
      <c r="B7" s="3">
        <v>295114</v>
      </c>
      <c r="C7" s="4">
        <v>26.57654</v>
      </c>
      <c r="D7" s="5">
        <v>8743</v>
      </c>
      <c r="E7" s="6">
        <v>3197</v>
      </c>
      <c r="F7" s="8">
        <v>668</v>
      </c>
      <c r="G7" s="5">
        <v>1431</v>
      </c>
      <c r="H7" s="7">
        <v>1575000</v>
      </c>
      <c r="I7" s="10">
        <f t="shared" si="0"/>
        <v>42.4126984126984</v>
      </c>
      <c r="J7" s="11">
        <f t="shared" si="1"/>
        <v>0.00555111111111111</v>
      </c>
      <c r="K7" s="11">
        <f t="shared" si="2"/>
        <v>1.68739936507937e-5</v>
      </c>
      <c r="L7">
        <v>4195569</v>
      </c>
      <c r="M7" s="4">
        <v>10.6466</v>
      </c>
      <c r="Q7" s="4"/>
    </row>
    <row r="8" spans="1:17">
      <c r="A8" s="2" t="s">
        <v>12</v>
      </c>
      <c r="B8" s="3">
        <v>181963</v>
      </c>
      <c r="C8" s="4">
        <v>611.8304</v>
      </c>
      <c r="D8" s="5">
        <v>103877</v>
      </c>
      <c r="E8" s="6">
        <v>2288.3</v>
      </c>
      <c r="F8" s="5">
        <v>8862</v>
      </c>
      <c r="G8" s="5">
        <v>82753</v>
      </c>
      <c r="H8" s="7">
        <v>71507000</v>
      </c>
      <c r="I8" s="10">
        <f t="shared" si="0"/>
        <v>12.3931922748822</v>
      </c>
      <c r="J8" s="11">
        <f t="shared" si="1"/>
        <v>0.00145268295411638</v>
      </c>
      <c r="K8" s="11">
        <f t="shared" si="2"/>
        <v>8.55623085851735e-6</v>
      </c>
      <c r="L8">
        <v>828364</v>
      </c>
      <c r="M8" s="4">
        <v>1033.6581</v>
      </c>
      <c r="Q8" s="4"/>
    </row>
    <row r="9" spans="1:17">
      <c r="A9" s="2" t="s">
        <v>13</v>
      </c>
      <c r="B9" s="3">
        <v>173973</v>
      </c>
      <c r="C9" s="4">
        <v>172.97856</v>
      </c>
      <c r="D9" s="5">
        <v>57503</v>
      </c>
      <c r="E9" s="6">
        <v>2403.9</v>
      </c>
      <c r="F9" s="5">
        <v>5326</v>
      </c>
      <c r="G9" s="5">
        <v>62968</v>
      </c>
      <c r="H9" s="7">
        <v>30209000</v>
      </c>
      <c r="I9" s="10">
        <f t="shared" si="0"/>
        <v>17.6305074646629</v>
      </c>
      <c r="J9" s="11">
        <f t="shared" si="1"/>
        <v>0.00190350557780794</v>
      </c>
      <c r="K9" s="11">
        <f t="shared" si="2"/>
        <v>5.72606044556258e-6</v>
      </c>
      <c r="L9">
        <v>3039501</v>
      </c>
      <c r="M9" s="4">
        <v>411.2296</v>
      </c>
      <c r="Q9" s="4"/>
    </row>
    <row r="10" spans="1:17">
      <c r="A10" s="2" t="s">
        <v>14</v>
      </c>
      <c r="B10" s="3">
        <v>151124</v>
      </c>
      <c r="C10" s="4">
        <v>58.41858</v>
      </c>
      <c r="D10" s="5">
        <v>22378</v>
      </c>
      <c r="E10" s="6">
        <v>1828.9</v>
      </c>
      <c r="F10" s="5">
        <v>1734</v>
      </c>
      <c r="G10" s="5">
        <v>8022</v>
      </c>
      <c r="H10" s="7">
        <v>7468000</v>
      </c>
      <c r="I10" s="10">
        <f t="shared" si="0"/>
        <v>23.2190680235672</v>
      </c>
      <c r="J10" s="11">
        <f t="shared" si="1"/>
        <v>0.00299651847884306</v>
      </c>
      <c r="K10" s="11">
        <f t="shared" si="2"/>
        <v>7.82252008569898e-6</v>
      </c>
      <c r="L10">
        <v>453537</v>
      </c>
      <c r="M10" s="4">
        <v>91.3789</v>
      </c>
      <c r="Q10" s="4"/>
    </row>
    <row r="11" spans="1:17">
      <c r="A11" s="2" t="s">
        <v>15</v>
      </c>
      <c r="B11" s="3">
        <v>73947</v>
      </c>
      <c r="C11" s="4">
        <v>31.1211</v>
      </c>
      <c r="D11" s="5">
        <v>42210</v>
      </c>
      <c r="E11" s="6">
        <v>1564.6</v>
      </c>
      <c r="F11" s="5">
        <v>1877</v>
      </c>
      <c r="G11" s="5">
        <v>10465</v>
      </c>
      <c r="H11" s="7">
        <v>13603000</v>
      </c>
      <c r="I11" s="10">
        <f t="shared" si="0"/>
        <v>13.7984268176138</v>
      </c>
      <c r="J11" s="11">
        <f t="shared" si="1"/>
        <v>0.00310299198706168</v>
      </c>
      <c r="K11" s="11">
        <f t="shared" si="2"/>
        <v>2.28781151216643e-6</v>
      </c>
      <c r="L11">
        <v>46720</v>
      </c>
      <c r="M11" s="4">
        <v>95.2393</v>
      </c>
      <c r="Q11" s="4"/>
    </row>
    <row r="12" spans="1:17">
      <c r="A12" s="2" t="s">
        <v>16</v>
      </c>
      <c r="B12" s="3">
        <v>60938</v>
      </c>
      <c r="C12" s="4">
        <v>107.92875</v>
      </c>
      <c r="D12" s="5">
        <v>47521</v>
      </c>
      <c r="E12" s="6">
        <v>371.4</v>
      </c>
      <c r="F12" s="5">
        <v>3298</v>
      </c>
      <c r="G12" s="5">
        <v>13960</v>
      </c>
      <c r="H12" s="7">
        <v>39466000</v>
      </c>
      <c r="I12" s="10">
        <f t="shared" si="0"/>
        <v>8.35656007702833</v>
      </c>
      <c r="J12" s="11">
        <f t="shared" si="1"/>
        <v>0.00120409973141438</v>
      </c>
      <c r="K12" s="11">
        <f t="shared" si="2"/>
        <v>2.73472736025946e-6</v>
      </c>
      <c r="L12">
        <v>231859</v>
      </c>
      <c r="M12" s="4">
        <v>128.6015</v>
      </c>
      <c r="Q12" s="4"/>
    </row>
    <row r="13" spans="1:17">
      <c r="A13" s="2" t="s">
        <v>17</v>
      </c>
      <c r="B13" s="3">
        <v>175895</v>
      </c>
      <c r="C13" s="4">
        <v>294.98294</v>
      </c>
      <c r="D13" s="5">
        <v>109301</v>
      </c>
      <c r="E13" s="6">
        <v>1237.6</v>
      </c>
      <c r="F13" s="5">
        <v>11034</v>
      </c>
      <c r="G13" s="5">
        <v>153440</v>
      </c>
      <c r="H13" s="7">
        <v>67692000</v>
      </c>
      <c r="I13" s="10">
        <f t="shared" si="0"/>
        <v>16.3003013650062</v>
      </c>
      <c r="J13" s="11">
        <f t="shared" si="1"/>
        <v>0.00161468120309638</v>
      </c>
      <c r="K13" s="11">
        <f t="shared" si="2"/>
        <v>4.35772233055605e-6</v>
      </c>
      <c r="L13">
        <v>641272</v>
      </c>
      <c r="M13" s="4">
        <v>752.6216</v>
      </c>
      <c r="Q13" s="4"/>
    </row>
    <row r="14" spans="1:17">
      <c r="A14" s="2" t="s">
        <v>18</v>
      </c>
      <c r="B14" s="3">
        <v>152870</v>
      </c>
      <c r="C14" s="4">
        <v>149.17705</v>
      </c>
      <c r="D14" s="5">
        <v>57002</v>
      </c>
      <c r="E14" s="6">
        <v>831.2</v>
      </c>
      <c r="F14" s="5">
        <v>6921</v>
      </c>
      <c r="G14" s="5">
        <v>105186</v>
      </c>
      <c r="H14" s="7">
        <v>35776000</v>
      </c>
      <c r="I14" s="10">
        <f t="shared" si="0"/>
        <v>19.3453711985689</v>
      </c>
      <c r="J14" s="11">
        <f t="shared" si="1"/>
        <v>0.00159330277280859</v>
      </c>
      <c r="K14" s="11">
        <f t="shared" si="2"/>
        <v>4.16975206842576e-6</v>
      </c>
      <c r="L14">
        <v>1027656</v>
      </c>
      <c r="M14" s="4">
        <v>243.8374</v>
      </c>
      <c r="Q14" s="4"/>
    </row>
    <row r="15" spans="1:17">
      <c r="A15" s="2" t="s">
        <v>19</v>
      </c>
      <c r="B15" s="3">
        <v>63379</v>
      </c>
      <c r="C15" s="4">
        <v>154.44273</v>
      </c>
      <c r="D15" s="5">
        <v>115915</v>
      </c>
      <c r="E15" s="6">
        <v>1260.4</v>
      </c>
      <c r="F15" s="5">
        <v>7541</v>
      </c>
      <c r="G15" s="5">
        <v>103609</v>
      </c>
      <c r="H15" s="7">
        <v>86579000</v>
      </c>
      <c r="I15" s="10">
        <f t="shared" si="0"/>
        <v>8.70996431005209</v>
      </c>
      <c r="J15" s="11">
        <f t="shared" si="1"/>
        <v>0.00133883505237991</v>
      </c>
      <c r="K15" s="11">
        <f t="shared" si="2"/>
        <v>1.78383591864078e-6</v>
      </c>
      <c r="L15">
        <v>165326</v>
      </c>
      <c r="M15" s="4">
        <v>1490.2272</v>
      </c>
      <c r="Q15" s="4"/>
    </row>
    <row r="16" spans="1:17">
      <c r="A16" s="2" t="s">
        <v>20</v>
      </c>
      <c r="B16" s="3">
        <v>153664</v>
      </c>
      <c r="C16" s="4">
        <v>607.65211</v>
      </c>
      <c r="D16" s="5">
        <v>228866</v>
      </c>
      <c r="E16" s="6">
        <v>1659.3</v>
      </c>
      <c r="F16" s="5">
        <v>13972</v>
      </c>
      <c r="G16" s="5">
        <v>121765</v>
      </c>
      <c r="H16" s="7">
        <v>126385000</v>
      </c>
      <c r="I16" s="10">
        <f t="shared" si="0"/>
        <v>11.0551093879812</v>
      </c>
      <c r="J16" s="11">
        <f t="shared" si="1"/>
        <v>0.00181086363096887</v>
      </c>
      <c r="K16" s="11">
        <f t="shared" si="2"/>
        <v>4.80794485105036e-6</v>
      </c>
      <c r="L16">
        <v>3332739</v>
      </c>
      <c r="M16" s="4">
        <v>1343.3101</v>
      </c>
      <c r="Q16" s="4"/>
    </row>
    <row r="17" spans="1:17">
      <c r="A17" s="2" t="s">
        <v>21</v>
      </c>
      <c r="B17" s="3">
        <v>60204</v>
      </c>
      <c r="C17" s="4">
        <v>2.3374</v>
      </c>
      <c r="D17" s="5">
        <v>14679</v>
      </c>
      <c r="E17" s="6">
        <v>375.2</v>
      </c>
      <c r="F17" s="8">
        <v>240</v>
      </c>
      <c r="G17" s="8">
        <v>769</v>
      </c>
      <c r="H17" s="7">
        <v>3223000</v>
      </c>
      <c r="I17" s="10">
        <f t="shared" si="0"/>
        <v>7.44647843623953</v>
      </c>
      <c r="J17" s="11">
        <f t="shared" si="1"/>
        <v>0.004554452373565</v>
      </c>
      <c r="K17" s="11">
        <f t="shared" si="2"/>
        <v>7.25224945702761e-7</v>
      </c>
      <c r="L17">
        <v>11313</v>
      </c>
      <c r="M17" s="4">
        <v>24.6919</v>
      </c>
      <c r="Q17" s="4"/>
    </row>
    <row r="18" spans="1:17">
      <c r="A18" s="2" t="s">
        <v>22</v>
      </c>
      <c r="B18" s="3">
        <v>69997</v>
      </c>
      <c r="C18" s="4">
        <v>5.03197</v>
      </c>
      <c r="D18" s="5">
        <v>8574</v>
      </c>
      <c r="E18" s="6">
        <v>752.7</v>
      </c>
      <c r="F18" s="8">
        <v>374</v>
      </c>
      <c r="G18" s="8">
        <v>668</v>
      </c>
      <c r="H18" s="7">
        <v>3349000</v>
      </c>
      <c r="I18" s="10">
        <f t="shared" si="0"/>
        <v>11.1675126903553</v>
      </c>
      <c r="J18" s="11">
        <f t="shared" si="1"/>
        <v>0.00256016721409376</v>
      </c>
      <c r="K18" s="11">
        <f t="shared" si="2"/>
        <v>1.50252911316811e-6</v>
      </c>
      <c r="L18">
        <v>11874</v>
      </c>
      <c r="M18" s="4">
        <v>22.01</v>
      </c>
      <c r="Q18" s="4"/>
    </row>
    <row r="19" spans="1:17">
      <c r="A19" s="2" t="s">
        <v>23</v>
      </c>
      <c r="B19" s="3">
        <v>140016</v>
      </c>
      <c r="C19" s="4">
        <v>5.7435</v>
      </c>
      <c r="D19" s="5">
        <v>6128</v>
      </c>
      <c r="E19" s="6">
        <v>622.8</v>
      </c>
      <c r="F19" s="8">
        <v>227</v>
      </c>
      <c r="G19" s="8">
        <v>610</v>
      </c>
      <c r="H19" s="7">
        <v>1238000</v>
      </c>
      <c r="I19" s="10">
        <f t="shared" si="0"/>
        <v>18.3360258481422</v>
      </c>
      <c r="J19" s="11">
        <f t="shared" si="1"/>
        <v>0.00494991922455573</v>
      </c>
      <c r="K19" s="11">
        <f t="shared" si="2"/>
        <v>4.63933764135703e-6</v>
      </c>
      <c r="L19">
        <v>6954</v>
      </c>
      <c r="M19" s="4">
        <v>9.6734</v>
      </c>
      <c r="Q19" s="4"/>
    </row>
    <row r="20" spans="1:17">
      <c r="A20" s="2" t="s">
        <v>24</v>
      </c>
      <c r="B20" s="3">
        <v>76462</v>
      </c>
      <c r="C20" s="4">
        <v>2.305</v>
      </c>
      <c r="D20" s="5">
        <v>6447</v>
      </c>
      <c r="E20" s="6">
        <v>448.2</v>
      </c>
      <c r="F20" s="8">
        <v>192</v>
      </c>
      <c r="G20" s="8">
        <v>341</v>
      </c>
      <c r="H20" s="7">
        <v>2233000</v>
      </c>
      <c r="I20" s="10">
        <f t="shared" si="0"/>
        <v>8.59829825347067</v>
      </c>
      <c r="J20" s="11">
        <f t="shared" si="1"/>
        <v>0.0028871473354232</v>
      </c>
      <c r="K20" s="11">
        <f t="shared" si="2"/>
        <v>1.03224361845052e-6</v>
      </c>
      <c r="L20">
        <v>7805</v>
      </c>
      <c r="M20" s="4">
        <v>25.3216</v>
      </c>
      <c r="Q20" s="4"/>
    </row>
    <row r="21" spans="1:17">
      <c r="A21" s="2" t="s">
        <v>25</v>
      </c>
      <c r="B21" s="3">
        <v>90172</v>
      </c>
      <c r="C21" s="4">
        <v>221.4779</v>
      </c>
      <c r="D21" s="5">
        <v>85974</v>
      </c>
      <c r="E21" s="6">
        <v>1004.3</v>
      </c>
      <c r="F21" s="5">
        <v>5548</v>
      </c>
      <c r="G21" s="5">
        <v>32894</v>
      </c>
      <c r="H21" s="7">
        <v>46276000</v>
      </c>
      <c r="I21" s="10">
        <f t="shared" si="0"/>
        <v>11.9889359495203</v>
      </c>
      <c r="J21" s="11">
        <f t="shared" si="1"/>
        <v>0.00185785288270378</v>
      </c>
      <c r="K21" s="11">
        <f t="shared" si="2"/>
        <v>4.78602083153254e-6</v>
      </c>
      <c r="L21">
        <v>216311</v>
      </c>
      <c r="M21" s="4">
        <v>376.1015</v>
      </c>
      <c r="Q21" s="4"/>
    </row>
    <row r="22" spans="1:17">
      <c r="A22" s="2" t="s">
        <v>26</v>
      </c>
      <c r="B22" s="3">
        <v>123874</v>
      </c>
      <c r="C22" s="4">
        <v>11.43736</v>
      </c>
      <c r="D22" s="5">
        <v>38628</v>
      </c>
      <c r="E22" s="6">
        <v>2496.6</v>
      </c>
      <c r="F22" s="5">
        <v>6612</v>
      </c>
      <c r="G22" s="5">
        <v>74166</v>
      </c>
      <c r="H22" s="7">
        <v>30730000</v>
      </c>
      <c r="I22" s="10">
        <f t="shared" si="0"/>
        <v>21.5164334526521</v>
      </c>
      <c r="J22" s="11">
        <f t="shared" si="1"/>
        <v>0.00125701269118126</v>
      </c>
      <c r="K22" s="11">
        <f t="shared" si="2"/>
        <v>3.72188740644322e-7</v>
      </c>
      <c r="L22">
        <v>92151</v>
      </c>
      <c r="M22" s="4">
        <v>534.9207</v>
      </c>
      <c r="Q22" s="4"/>
    </row>
    <row r="23" spans="1:17">
      <c r="A23" s="2" t="s">
        <v>27</v>
      </c>
      <c r="B23" s="3">
        <v>84935</v>
      </c>
      <c r="C23" s="4">
        <v>114.74158</v>
      </c>
      <c r="D23" s="5">
        <v>140231</v>
      </c>
      <c r="E23" s="6">
        <v>1458.4</v>
      </c>
      <c r="F23" s="5">
        <v>8304</v>
      </c>
      <c r="G23" s="5">
        <v>126980</v>
      </c>
      <c r="H23" s="7">
        <v>81025000</v>
      </c>
      <c r="I23" s="10">
        <f t="shared" si="0"/>
        <v>10.2486886763345</v>
      </c>
      <c r="J23" s="11">
        <f t="shared" si="1"/>
        <v>0.00173071274298056</v>
      </c>
      <c r="K23" s="11">
        <f t="shared" si="2"/>
        <v>1.4161256402345e-6</v>
      </c>
      <c r="L23">
        <v>314823</v>
      </c>
      <c r="M23" s="4">
        <v>928.6324</v>
      </c>
      <c r="Q23" s="4"/>
    </row>
    <row r="24" spans="1:17">
      <c r="A24" s="2" t="s">
        <v>28</v>
      </c>
      <c r="B24" s="3">
        <v>273145</v>
      </c>
      <c r="C24" s="4">
        <v>207.15584</v>
      </c>
      <c r="D24" s="5">
        <v>4720</v>
      </c>
      <c r="E24" s="6">
        <v>936.4</v>
      </c>
      <c r="F24" s="8">
        <v>168</v>
      </c>
      <c r="G24" s="8">
        <v>303</v>
      </c>
      <c r="H24" s="7">
        <v>689000</v>
      </c>
      <c r="I24" s="10">
        <f t="shared" si="0"/>
        <v>24.3831640058055</v>
      </c>
      <c r="J24" s="11">
        <f t="shared" si="1"/>
        <v>0.00685050798258345</v>
      </c>
      <c r="K24" s="11">
        <f t="shared" si="2"/>
        <v>0.000300661596516691</v>
      </c>
      <c r="L24">
        <v>5885</v>
      </c>
      <c r="M24" s="4">
        <v>12.1108</v>
      </c>
      <c r="Q24" s="4"/>
    </row>
    <row r="25" spans="1:17">
      <c r="A25" s="2" t="s">
        <v>29</v>
      </c>
      <c r="B25" s="3">
        <v>166590</v>
      </c>
      <c r="C25" s="4">
        <v>14.00353</v>
      </c>
      <c r="D25" s="5">
        <v>116499</v>
      </c>
      <c r="E25" s="6">
        <v>1588.7</v>
      </c>
      <c r="F25" s="5">
        <v>12407</v>
      </c>
      <c r="G25" s="5">
        <v>288990</v>
      </c>
      <c r="H25" s="7">
        <v>76860000</v>
      </c>
      <c r="I25" s="10">
        <f t="shared" si="0"/>
        <v>16.1423367161072</v>
      </c>
      <c r="J25" s="11">
        <f t="shared" si="1"/>
        <v>0.00151572989851678</v>
      </c>
      <c r="K25" s="11">
        <f t="shared" si="2"/>
        <v>1.82195290137913e-7</v>
      </c>
      <c r="L25">
        <v>489203</v>
      </c>
      <c r="M25" s="4">
        <v>596.0203</v>
      </c>
      <c r="Q25" s="4"/>
    </row>
    <row r="26" spans="1:17">
      <c r="A26" s="2" t="s">
        <v>30</v>
      </c>
      <c r="B26" s="3">
        <v>169354</v>
      </c>
      <c r="C26" s="4">
        <v>489.32332</v>
      </c>
      <c r="D26" s="5">
        <v>106855</v>
      </c>
      <c r="E26" s="6">
        <v>2211.9</v>
      </c>
      <c r="F26" s="5">
        <v>5819</v>
      </c>
      <c r="G26" s="5">
        <v>113529</v>
      </c>
      <c r="H26" s="7">
        <v>38090000</v>
      </c>
      <c r="I26" s="10">
        <f t="shared" si="0"/>
        <v>15.2769755841428</v>
      </c>
      <c r="J26" s="11">
        <f t="shared" si="1"/>
        <v>0.00280532948280389</v>
      </c>
      <c r="K26" s="11">
        <f t="shared" si="2"/>
        <v>1.28465035442373e-5</v>
      </c>
      <c r="L26">
        <v>776338</v>
      </c>
      <c r="M26" s="4">
        <v>537.9247</v>
      </c>
      <c r="Q26" s="4"/>
    </row>
    <row r="27" spans="1:17">
      <c r="A27" s="2" t="s">
        <v>31</v>
      </c>
      <c r="B27" s="3">
        <v>91455</v>
      </c>
      <c r="C27" s="4">
        <v>147.79662</v>
      </c>
      <c r="D27" s="5">
        <v>11855</v>
      </c>
      <c r="E27" s="6">
        <v>421.5</v>
      </c>
      <c r="F27" s="8">
        <v>613</v>
      </c>
      <c r="G27" s="5">
        <v>2144</v>
      </c>
      <c r="H27" s="7">
        <v>4147000</v>
      </c>
      <c r="I27" s="10">
        <f t="shared" si="0"/>
        <v>14.7817699541837</v>
      </c>
      <c r="J27" s="11">
        <f t="shared" si="1"/>
        <v>0.00285869303110682</v>
      </c>
      <c r="K27" s="11">
        <f t="shared" si="2"/>
        <v>3.56394068000965e-5</v>
      </c>
      <c r="L27">
        <v>14499</v>
      </c>
      <c r="M27" s="4">
        <v>56.089</v>
      </c>
      <c r="Q27" s="4"/>
    </row>
    <row r="28" spans="1:17">
      <c r="A28" s="2" t="s">
        <v>32</v>
      </c>
      <c r="B28" s="3">
        <v>47808</v>
      </c>
      <c r="C28" s="4">
        <v>11.20818</v>
      </c>
      <c r="D28" s="5">
        <v>235607</v>
      </c>
      <c r="E28" s="6">
        <v>716.6</v>
      </c>
      <c r="F28" s="5">
        <v>18415</v>
      </c>
      <c r="G28" s="5">
        <v>191365</v>
      </c>
      <c r="H28" s="7">
        <v>235687000</v>
      </c>
      <c r="I28" s="10">
        <f t="shared" si="0"/>
        <v>7.8133286944125</v>
      </c>
      <c r="J28" s="11">
        <f t="shared" si="1"/>
        <v>0.000999660566768638</v>
      </c>
      <c r="K28" s="11">
        <f t="shared" si="2"/>
        <v>4.75553594385774e-8</v>
      </c>
      <c r="L28">
        <v>411420</v>
      </c>
      <c r="M28" s="4">
        <v>1853.0648</v>
      </c>
      <c r="Q28" s="4"/>
    </row>
    <row r="29" spans="1:17">
      <c r="A29" s="2" t="s">
        <v>33</v>
      </c>
      <c r="B29" s="3">
        <v>149547</v>
      </c>
      <c r="C29" s="4">
        <v>363.68837</v>
      </c>
      <c r="D29" s="5">
        <v>28488</v>
      </c>
      <c r="E29" s="6">
        <v>1520.9</v>
      </c>
      <c r="F29" s="5">
        <v>2202</v>
      </c>
      <c r="G29" s="5">
        <v>9281</v>
      </c>
      <c r="H29" s="7">
        <v>11637000</v>
      </c>
      <c r="I29" s="10">
        <f t="shared" si="0"/>
        <v>18.9224026811034</v>
      </c>
      <c r="J29" s="11">
        <f t="shared" si="1"/>
        <v>0.00244805362206754</v>
      </c>
      <c r="K29" s="11">
        <f t="shared" si="2"/>
        <v>3.12527601615537e-5</v>
      </c>
      <c r="L29">
        <v>755489</v>
      </c>
      <c r="M29" s="4">
        <v>68.3861</v>
      </c>
      <c r="Q29" s="4"/>
    </row>
    <row r="30" spans="1:17">
      <c r="A30" s="2" t="s">
        <v>34</v>
      </c>
      <c r="B30" s="3">
        <v>74334</v>
      </c>
      <c r="C30" s="4">
        <v>93.4525</v>
      </c>
      <c r="D30" s="5">
        <v>143710</v>
      </c>
      <c r="E30" s="6">
        <v>670</v>
      </c>
      <c r="F30" s="5">
        <v>9761</v>
      </c>
      <c r="G30" s="5">
        <v>47472</v>
      </c>
      <c r="H30" s="7">
        <v>99084000</v>
      </c>
      <c r="I30" s="10">
        <f t="shared" si="0"/>
        <v>9.85123733397925</v>
      </c>
      <c r="J30" s="11">
        <f t="shared" si="1"/>
        <v>0.00145038553146825</v>
      </c>
      <c r="K30" s="11">
        <f t="shared" si="2"/>
        <v>9.43164385773687e-7</v>
      </c>
      <c r="L30">
        <v>535875</v>
      </c>
      <c r="M30" s="4">
        <v>870.1706</v>
      </c>
      <c r="Q30" s="4"/>
    </row>
    <row r="31" spans="1:17">
      <c r="A31" s="2" t="s">
        <v>35</v>
      </c>
      <c r="B31" s="3">
        <v>258941</v>
      </c>
      <c r="C31" s="4">
        <v>8.366345</v>
      </c>
      <c r="D31" s="5">
        <v>38248</v>
      </c>
      <c r="E31" s="6">
        <v>2097.2</v>
      </c>
      <c r="F31" s="5">
        <v>3775</v>
      </c>
      <c r="G31" s="5">
        <v>45787</v>
      </c>
      <c r="H31" s="7">
        <v>21359000</v>
      </c>
      <c r="I31" s="10">
        <f t="shared" si="0"/>
        <v>17.6740484105061</v>
      </c>
      <c r="J31" s="11">
        <f t="shared" si="1"/>
        <v>0.00179072053935109</v>
      </c>
      <c r="K31" s="11">
        <f t="shared" si="2"/>
        <v>3.91701156421181e-7</v>
      </c>
      <c r="L31">
        <v>515018</v>
      </c>
      <c r="M31" s="4">
        <v>0.21745</v>
      </c>
      <c r="Q31" s="4"/>
    </row>
    <row r="32" spans="1:17">
      <c r="A32" s="2" t="s">
        <v>36</v>
      </c>
      <c r="B32" s="3">
        <v>138988</v>
      </c>
      <c r="C32" s="4">
        <v>11.43736</v>
      </c>
      <c r="D32" s="5">
        <v>4246</v>
      </c>
      <c r="E32" s="6">
        <v>2450.1</v>
      </c>
      <c r="F32" s="8">
        <v>272</v>
      </c>
      <c r="G32" s="5">
        <v>4652</v>
      </c>
      <c r="H32" s="7">
        <v>1376974</v>
      </c>
      <c r="I32" s="10">
        <f t="shared" si="0"/>
        <v>19.7534593971999</v>
      </c>
      <c r="J32" s="11">
        <f t="shared" si="1"/>
        <v>0.0030835731103129</v>
      </c>
      <c r="K32" s="11">
        <f t="shared" si="2"/>
        <v>8.3061553812926e-6</v>
      </c>
      <c r="L32">
        <v>18315</v>
      </c>
      <c r="M32" s="4">
        <v>0.23128</v>
      </c>
      <c r="Q3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28-Anwesha Das</cp:lastModifiedBy>
  <dcterms:created xsi:type="dcterms:W3CDTF">2025-11-03T18:51:00Z</dcterms:created>
  <dcterms:modified xsi:type="dcterms:W3CDTF">2025-12-13T21:41:46Z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392205A8903A438FA795E63ADB601AB0_11</vt:lpwstr>
  </property>
  <property fmtid="{D5CDD505-2E9C-101B-9397-08002B2CF9AE}" pid="3" name="KSOProductBuildVer">
    <vt:lpwstr>1033-12.2.0.23155</vt:lpwstr>
  </property>
</Properties>
</file>